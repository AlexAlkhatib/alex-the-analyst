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asa\Downloads\_Data_Analysis_\Excel\Excel Tutorial\"/>
    </mc:Choice>
  </mc:AlternateContent>
  <bookViews>
    <workbookView xWindow="0" yWindow="0" windowWidth="23040" windowHeight="8700" tabRatio="728" activeTab="10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3" l="1"/>
  <c r="K2" i="1"/>
  <c r="J3" i="3" l="1"/>
  <c r="J4" i="3"/>
  <c r="J5" i="3"/>
  <c r="J6" i="3"/>
  <c r="J7" i="3"/>
  <c r="J8" i="3"/>
  <c r="J9" i="3"/>
  <c r="J10" i="3"/>
  <c r="J2" i="3"/>
  <c r="K3" i="13" l="1"/>
  <c r="K4" i="13"/>
  <c r="K5" i="13"/>
  <c r="K6" i="13"/>
  <c r="K7" i="13"/>
  <c r="K8" i="13"/>
  <c r="K9" i="13"/>
  <c r="K10" i="13"/>
  <c r="K2" i="13"/>
  <c r="J3" i="13"/>
  <c r="J4" i="13"/>
  <c r="J5" i="13"/>
  <c r="J7" i="13"/>
  <c r="J8" i="13"/>
  <c r="J9" i="13"/>
  <c r="J10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K3" i="1"/>
  <c r="K4" i="1"/>
  <c r="K5" i="1"/>
  <c r="K6" i="1"/>
  <c r="K7" i="1"/>
  <c r="K8" i="1"/>
  <c r="K9" i="1"/>
  <c r="K10" i="1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J3" i="2"/>
  <c r="J4" i="2"/>
  <c r="J5" i="2"/>
  <c r="J6" i="2"/>
  <c r="J7" i="2"/>
  <c r="J8" i="2"/>
  <c r="J9" i="2"/>
  <c r="J10" i="2"/>
  <c r="J2" i="2"/>
  <c r="N3" i="4"/>
  <c r="N4" i="4"/>
  <c r="N5" i="4"/>
  <c r="N6" i="4"/>
  <c r="N7" i="4"/>
  <c r="N8" i="4"/>
  <c r="N9" i="4"/>
  <c r="N10" i="4"/>
  <c r="N2" i="4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6"/>
  <c r="J4" i="6"/>
  <c r="J5" i="6"/>
  <c r="J6" i="6"/>
  <c r="J7" i="6"/>
  <c r="J8" i="6"/>
  <c r="J9" i="6"/>
  <c r="J10" i="6"/>
  <c r="J2" i="6"/>
  <c r="J3" i="1"/>
  <c r="J4" i="1"/>
  <c r="J5" i="1"/>
  <c r="J6" i="1"/>
  <c r="J7" i="1"/>
  <c r="J8" i="1"/>
  <c r="J9" i="1"/>
  <c r="J10" i="1"/>
  <c r="J2" i="1"/>
  <c r="K3" i="9" l="1"/>
  <c r="J3" i="9"/>
  <c r="K2" i="9"/>
  <c r="J2" i="9"/>
  <c r="H11" i="1" l="1"/>
  <c r="H12" i="1"/>
</calcChain>
</file>

<file path=xl/comments1.xml><?xml version="1.0" encoding="utf-8"?>
<comments xmlns="http://schemas.openxmlformats.org/spreadsheetml/2006/main">
  <authors>
    <author>Alex Alkhatib</author>
  </authors>
  <commentList>
    <comment ref="L1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Can be used to see difference between 100s and thousands. Can find bad Social Security numbers if they're 10 digits instead of 9</t>
        </r>
      </text>
    </comment>
  </commentList>
</comments>
</file>

<file path=xl/comments2.xml><?xml version="1.0" encoding="utf-8"?>
<comments xmlns="http://schemas.openxmlformats.org/spreadsheetml/2006/main">
  <authors>
    <author>Alex Alkhatib</author>
  </authors>
  <commentList>
    <comment ref="K1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It just removes unwanted spaces on both sides</t>
        </r>
      </text>
    </comment>
  </commentList>
</comments>
</file>

<file path=xl/sharedStrings.xml><?xml version="1.0" encoding="utf-8"?>
<sst xmlns="http://schemas.openxmlformats.org/spreadsheetml/2006/main" count="583" uniqueCount="87">
  <si>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</si>
  <si>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</si>
  <si>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</si>
  <si>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</si>
  <si>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</si>
  <si>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</si>
  <si>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</si>
  <si>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</si>
  <si>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</si>
  <si>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</si>
  <si>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</si>
  <si>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</si>
  <si>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</si>
  <si>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</si>
  <si>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</si>
  <si>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</si>
  <si>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</si>
  <si>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</si>
  <si>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</si>
  <si>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</si>
  <si>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</si>
  <si>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</si>
  <si>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</si>
  <si>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</si>
  <si>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</si>
  <si>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</si>
  <si>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</si>
  <si>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</si>
  <si>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</si>
  <si>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</si>
  <si>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</si>
  <si>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</si>
  <si>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</si>
  <si>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</si>
  <si>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</si>
  <si>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</si>
  <si>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</si>
  <si>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</si>
  <si>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</si>
  <si>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</si>
  <si>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</si>
  <si>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</si>
  <si>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</si>
  <si>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</si>
  <si>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</si>
  <si>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</si>
  <si>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</si>
  <si>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</si>
  <si>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</si>
  <si>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</si>
  <si>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</si>
  <si>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</si>
  <si>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</si>
  <si>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</si>
  <si>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</si>
  <si>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</si>
  <si>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</si>
  <si>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</si>
  <si>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</si>
  <si>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</si>
  <si>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</si>
  <si>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</si>
  <si>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</si>
  <si>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</si>
  <si>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</si>
  <si>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</si>
  <si>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</si>
  <si>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</si>
  <si>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TEXT(H2,"dd/mm/yyyy")</t>
  </si>
  <si>
    <t>with 1 instance</t>
  </si>
  <si>
    <t>with 2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</si>
  <si>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</si>
  <si>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</si>
  <si>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</si>
  <si>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</si>
  <si>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</si>
  <si>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</si>
  <si>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</si>
  <si>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</si>
  <si>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</si>
  <si>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</si>
  <si>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</si>
  <si>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</si>
  <si>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</si>
  <si>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</si>
  <si>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CONCATENATE(LOWER(B2); ".";LOWER(C2);"@gmail.com")</t>
  </si>
  <si>
    <t>without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</si>
</sst>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35</v>
      </c>
      <c r="I1" t="s">
        <v>36</v>
      </c>
      <c r="J1" t="s">
        <v>77</v>
      </c>
      <c r="K1" t="s">
        <v>78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J17" sqref="J17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35</v>
      </c>
      <c r="I1" t="s">
        <v>36</v>
      </c>
      <c r="J1" t="s">
        <v>79</v>
      </c>
      <c r="K1" t="s">
        <v>80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 &gt; 30, "Old", "Young")</f>
        <v>Young</v>
      </c>
      <c r="K2" t="str">
        <f>IF(F2 = "Salesman", "Sales", IF(F2 = "HR", "Fire immediately", "Christmas Bonus"))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 &gt; 30, "Old", "Young")</f>
        <v>Young</v>
      </c>
      <c r="K3" t="str">
        <f t="shared" ref="K3:K10" si="1">IF(F3 = "Salesman", "Sales", IF(F3 = "HR", "Fire immediately", "Christmas Bonus"))</f>
        <v>Christmas Bonus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str">
        <f t="shared" si="1"/>
        <v>Christmas Bonus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Fire immediately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f t="shared" si="1"/>
        <v>Christmas Bonus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str">
        <f t="shared" si="1"/>
        <v>Christmas Bonus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str">
        <f t="shared" si="1"/>
        <v>Christmas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M16" sqref="M16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35</v>
      </c>
      <c r="I1" t="s">
        <v>36</v>
      </c>
      <c r="J1" t="s">
        <v>19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10"/>
  <sheetViews>
    <sheetView workbookViewId="0">
      <selection activeCell="M15" sqref="M15"/>
    </sheetView>
  </sheetViews>
  <sheetFormatPr defaultColWidth="14.5546875" defaultRowHeight="14.4" x14ac:dyDescent="0.3"/>
  <cols>
    <col min="4" max="4" width="8" customWidth="1"/>
    <col min="10" max="10" width="40.33203125" customWidth="1"/>
  </cols>
  <sheetData>
    <row r="1" spans="1:14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35</v>
      </c>
      <c r="I1" t="s">
        <v>36</v>
      </c>
      <c r="J1" t="s">
        <v>37</v>
      </c>
      <c r="K1" t="s">
        <v>83</v>
      </c>
      <c r="L1" t="s">
        <v>84</v>
      </c>
      <c r="M1" t="s">
        <v>84</v>
      </c>
      <c r="N1" t="s">
        <v>84</v>
      </c>
    </row>
    <row r="2" spans="1:14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47</v>
      </c>
      <c r="I2" s="3" t="s">
        <v>55</v>
      </c>
      <c r="J2" s="1" t="s">
        <v>38</v>
      </c>
      <c r="K2" t="str">
        <f>LEFT(B2, 3)</f>
        <v>Jim</v>
      </c>
      <c r="L2" t="str">
        <f>RIGHT(B2, 1)</f>
        <v>m</v>
      </c>
      <c r="M2" t="str">
        <f>RIGHT(H2, 4)</f>
        <v>2001</v>
      </c>
      <c r="N2" t="str">
        <f>LEFT(RIGHT(H2, 6),1)</f>
        <v>2</v>
      </c>
    </row>
    <row r="3" spans="1:14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48</v>
      </c>
      <c r="I3" s="3" t="s">
        <v>56</v>
      </c>
      <c r="J3" s="1" t="s">
        <v>39</v>
      </c>
      <c r="K3" t="str">
        <f t="shared" ref="K3:K10" si="0">LEFT(B3, 3)</f>
        <v>Pam</v>
      </c>
      <c r="L3" t="str">
        <f t="shared" ref="L3:L10" si="1">RIGHT(B3, 1)</f>
        <v>m</v>
      </c>
      <c r="M3" t="str">
        <f t="shared" ref="M3:M10" si="2">RIGHT(H3, 4)</f>
        <v>1999</v>
      </c>
      <c r="N3" t="str">
        <f t="shared" ref="N3:N10" si="3">LEFT(RIGHT(H3, 6),1)</f>
        <v>3</v>
      </c>
    </row>
    <row r="4" spans="1:14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49</v>
      </c>
      <c r="I4" s="3" t="s">
        <v>57</v>
      </c>
      <c r="J4" s="1" t="s">
        <v>40</v>
      </c>
      <c r="K4" t="str">
        <f t="shared" si="0"/>
        <v>Dwi</v>
      </c>
      <c r="L4" t="str">
        <f t="shared" si="1"/>
        <v>t</v>
      </c>
      <c r="M4" t="str">
        <f t="shared" si="2"/>
        <v>2000</v>
      </c>
      <c r="N4" t="str">
        <f t="shared" si="3"/>
        <v>4</v>
      </c>
    </row>
    <row r="5" spans="1:14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50</v>
      </c>
      <c r="I5" s="3" t="s">
        <v>58</v>
      </c>
      <c r="J5" s="1" t="s">
        <v>41</v>
      </c>
      <c r="K5" t="str">
        <f t="shared" si="0"/>
        <v>Ang</v>
      </c>
      <c r="L5" t="str">
        <f t="shared" si="1"/>
        <v>a</v>
      </c>
      <c r="M5" t="str">
        <f t="shared" si="2"/>
        <v>2000</v>
      </c>
      <c r="N5" t="str">
        <f t="shared" si="3"/>
        <v>5</v>
      </c>
    </row>
    <row r="6" spans="1:14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51</v>
      </c>
      <c r="I6" s="3" t="s">
        <v>59</v>
      </c>
      <c r="J6" s="1" t="s">
        <v>42</v>
      </c>
      <c r="K6" t="str">
        <f t="shared" si="0"/>
        <v>Tob</v>
      </c>
      <c r="L6" t="str">
        <f t="shared" si="1"/>
        <v>y</v>
      </c>
      <c r="M6" t="str">
        <f t="shared" si="2"/>
        <v>2001</v>
      </c>
      <c r="N6" t="str">
        <f t="shared" si="3"/>
        <v>6</v>
      </c>
    </row>
    <row r="7" spans="1:14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51</v>
      </c>
      <c r="I7" s="3" t="s">
        <v>60</v>
      </c>
      <c r="J7" s="1" t="s">
        <v>43</v>
      </c>
      <c r="K7" t="str">
        <f t="shared" si="0"/>
        <v>Mic</v>
      </c>
      <c r="L7" t="str">
        <f t="shared" si="1"/>
        <v>l</v>
      </c>
      <c r="M7" t="str">
        <f t="shared" si="2"/>
        <v>2001</v>
      </c>
      <c r="N7" t="str">
        <f t="shared" si="3"/>
        <v>6</v>
      </c>
    </row>
    <row r="8" spans="1:14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52</v>
      </c>
      <c r="I8" s="3" t="s">
        <v>60</v>
      </c>
      <c r="J8" s="1" t="s">
        <v>44</v>
      </c>
      <c r="K8" t="str">
        <f t="shared" si="0"/>
        <v>Mer</v>
      </c>
      <c r="L8" t="str">
        <f t="shared" si="1"/>
        <v>h</v>
      </c>
      <c r="M8" t="str">
        <f t="shared" si="2"/>
        <v>2003</v>
      </c>
      <c r="N8" t="str">
        <f t="shared" si="3"/>
        <v>8</v>
      </c>
    </row>
    <row r="9" spans="1:14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53</v>
      </c>
      <c r="I9" s="3" t="s">
        <v>61</v>
      </c>
      <c r="J9" s="1" t="s">
        <v>45</v>
      </c>
      <c r="K9" t="str">
        <f t="shared" si="0"/>
        <v>Sta</v>
      </c>
      <c r="L9" t="str">
        <f t="shared" si="1"/>
        <v>y</v>
      </c>
      <c r="M9" t="str">
        <f t="shared" si="2"/>
        <v>2002</v>
      </c>
      <c r="N9" t="str">
        <f t="shared" si="3"/>
        <v>9</v>
      </c>
    </row>
    <row r="10" spans="1:14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54</v>
      </c>
      <c r="I10" s="3" t="s">
        <v>61</v>
      </c>
      <c r="J10" s="1" t="s">
        <v>46</v>
      </c>
      <c r="K10" t="str">
        <f t="shared" si="0"/>
        <v>Kev</v>
      </c>
      <c r="L10" t="str">
        <f t="shared" si="1"/>
        <v>n</v>
      </c>
      <c r="M10" t="str">
        <f t="shared" si="2"/>
        <v>2003</v>
      </c>
      <c r="N10" t="str">
        <f t="shared" si="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3"/>
  <sheetViews>
    <sheetView workbookViewId="0">
      <selection activeCell="J13" sqref="J1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0" max="10" width="21.441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35</v>
      </c>
      <c r="I1" t="s">
        <v>36</v>
      </c>
      <c r="J1" t="s">
        <v>68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TEXT(H2,"jj/MM/aaaa")</f>
        <v>02/11/2001</v>
      </c>
      <c r="K2" s="3"/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TEXT(H3,"jj/MM/aaaa")</f>
        <v>03/10/1999</v>
      </c>
      <c r="K3" s="3"/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3"/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3"/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3"/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3"/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3"/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3"/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3"/>
    </row>
    <row r="12" spans="1:11" x14ac:dyDescent="0.3">
      <c r="H12" s="1"/>
    </row>
    <row r="13" spans="1:11" x14ac:dyDescent="0.3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K16" sqref="K16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35</v>
      </c>
      <c r="I1" t="s">
        <v>36</v>
      </c>
      <c r="J1" t="s">
        <v>67</v>
      </c>
    </row>
    <row r="2" spans="1:11" x14ac:dyDescent="0.3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TRIM(C2)</f>
        <v>Halpert</v>
      </c>
    </row>
    <row r="3" spans="1:11" x14ac:dyDescent="0.3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TRIM(C3)</f>
        <v>Beasley</v>
      </c>
    </row>
    <row r="4" spans="1:11" x14ac:dyDescent="0.3">
      <c r="A4">
        <v>1003</v>
      </c>
      <c r="B4" s="3" t="s">
        <v>6</v>
      </c>
      <c r="C4" s="3" t="s">
        <v>66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3" t="s">
        <v>14</v>
      </c>
      <c r="C6" s="3" t="s">
        <v>65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">
      <c r="A7">
        <v>1006</v>
      </c>
      <c r="B7" s="3" t="s">
        <v>8</v>
      </c>
      <c r="C7" s="3" t="s">
        <v>64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3" t="s">
        <v>16</v>
      </c>
      <c r="C9" s="3" t="s">
        <v>63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3" t="s">
        <v>10</v>
      </c>
      <c r="C10" s="3" t="s">
        <v>62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2"/>
  <sheetViews>
    <sheetView workbookViewId="0">
      <selection activeCell="K17" sqref="K17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  <col min="11" max="11" width="49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35</v>
      </c>
      <c r="I1" t="s">
        <v>36</v>
      </c>
      <c r="J1" t="s">
        <v>18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 " ",C2)</f>
        <v>Jim Halpert</v>
      </c>
      <c r="K2" t="str">
        <f>CONCATENATE(LOWER(B2), ".",LOWER(C2),"@gmail.com")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 " ",C3)</f>
        <v>Pam Beasley</v>
      </c>
      <c r="K3" t="str">
        <f t="shared" ref="K3:K10" si="1">CONCATENATE(LOWER(B3), ".",LOWER(C3),"@gmail.com")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">
      <c r="H11" t="str">
        <f t="shared" ref="H11:H12" si="2">CONCATENATE(B11," ",C11)</f>
        <v xml:space="preserve"> </v>
      </c>
    </row>
    <row r="12" spans="1:11" x14ac:dyDescent="0.3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20"/>
  <sheetViews>
    <sheetView workbookViewId="0">
      <selection activeCell="L15" sqref="L15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7" max="7" width="13.6640625" style="2"/>
    <col min="12" max="12" width="16.8867187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35</v>
      </c>
      <c r="I1" t="s">
        <v>36</v>
      </c>
      <c r="J1" t="s">
        <v>69</v>
      </c>
      <c r="K1" t="s">
        <v>70</v>
      </c>
      <c r="L1" t="s">
        <v>86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47</v>
      </c>
      <c r="I2" s="3" t="s">
        <v>55</v>
      </c>
      <c r="J2" t="str">
        <f>SUBSTITUTE(H2, "/", "-", 1)</f>
        <v>11-2/2001</v>
      </c>
      <c r="K2" t="str">
        <f>SUBSTITUTE(H2, "/", "-", 2)</f>
        <v>11/2-2001</v>
      </c>
      <c r="L2" t="str">
        <f>SUBSTITUTE(H2, "/", 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48</v>
      </c>
      <c r="I3" s="3" t="s">
        <v>56</v>
      </c>
      <c r="J3" t="str">
        <f t="shared" ref="J3:J10" si="0">SUBSTITUTE(H3, "/", "-", 1)</f>
        <v>10-3/1999</v>
      </c>
      <c r="K3" t="str">
        <f t="shared" ref="K3:K10" si="1">SUBSTITUTE(H3, "/", "-", 2)</f>
        <v>10/3-1999</v>
      </c>
      <c r="L3" t="str">
        <f t="shared" ref="L3:L10" si="2">SUBSTITUTE(H3, "/", "-")</f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49</v>
      </c>
      <c r="I4" s="3" t="s">
        <v>57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50</v>
      </c>
      <c r="I5" s="3" t="s">
        <v>58</v>
      </c>
      <c r="J5" t="str">
        <f t="shared" si="0"/>
        <v>1-5/2000</v>
      </c>
      <c r="K5" t="str">
        <f t="shared" si="1"/>
        <v>1/5-2000</v>
      </c>
      <c r="L5" t="str">
        <f t="shared" si="2"/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51</v>
      </c>
      <c r="I6" s="3" t="s">
        <v>59</v>
      </c>
      <c r="J6" t="str">
        <f t="shared" si="0"/>
        <v>5-6/2001</v>
      </c>
      <c r="K6" t="str">
        <f t="shared" si="1"/>
        <v>5/6-2001</v>
      </c>
      <c r="L6" t="str">
        <f t="shared" si="2"/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51</v>
      </c>
      <c r="I7" s="3" t="s">
        <v>60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52</v>
      </c>
      <c r="I8" s="3" t="s">
        <v>60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53</v>
      </c>
      <c r="I9" s="3" t="s">
        <v>61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54</v>
      </c>
      <c r="I10" s="3" t="s">
        <v>61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2" spans="1:12" x14ac:dyDescent="0.3">
      <c r="H12" s="3"/>
      <c r="I12" s="3"/>
    </row>
    <row r="13" spans="1:12" x14ac:dyDescent="0.3">
      <c r="H13" s="3"/>
      <c r="I13" s="3"/>
    </row>
    <row r="14" spans="1:12" x14ac:dyDescent="0.3">
      <c r="H14" s="3"/>
      <c r="I14" s="3"/>
    </row>
    <row r="15" spans="1:12" x14ac:dyDescent="0.3">
      <c r="H15" s="3"/>
      <c r="I15" s="3"/>
    </row>
    <row r="16" spans="1:12" x14ac:dyDescent="0.3">
      <c r="H16" s="3"/>
      <c r="I16" s="3"/>
    </row>
    <row r="17" spans="8:9" x14ac:dyDescent="0.3">
      <c r="H17" s="3"/>
      <c r="I17" s="3"/>
    </row>
    <row r="18" spans="8:9" x14ac:dyDescent="0.3">
      <c r="H18" s="3"/>
      <c r="I18" s="3"/>
    </row>
    <row r="19" spans="8:9" x14ac:dyDescent="0.3">
      <c r="H19" s="3"/>
      <c r="I19" s="3"/>
    </row>
    <row r="20" spans="8:9" x14ac:dyDescent="0.3">
      <c r="H20" s="3"/>
      <c r="I20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I14" sqref="I14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35</v>
      </c>
      <c r="I1" t="s">
        <v>36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"&gt;50000")</f>
        <v>128000</v>
      </c>
      <c r="L2">
        <f>SUMIFS(G2:G10, E2:E10, "Female", D2:D10, 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2" sqref="L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35</v>
      </c>
      <c r="I1" t="s">
        <v>36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 "&gt;45000")</f>
        <v>5</v>
      </c>
      <c r="L2">
        <f>COUNTIFS(A2:A10, "&gt;1005", E2:E10, "Male")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tabSelected="1" workbookViewId="0">
      <selection activeCell="H14" sqref="H14"/>
    </sheetView>
  </sheetViews>
  <sheetFormatPr defaultRowHeight="14.4" x14ac:dyDescent="0.3"/>
  <cols>
    <col min="8" max="8" width="14.44140625" customWidth="1"/>
    <col min="9" max="9" width="13.33203125" customWidth="1"/>
    <col min="10" max="10" width="16.5546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35</v>
      </c>
      <c r="I1" t="s">
        <v>36</v>
      </c>
      <c r="J1" t="s">
        <v>81</v>
      </c>
      <c r="K1" t="s">
        <v>82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47</v>
      </c>
      <c r="I2" s="3" t="s">
        <v>55</v>
      </c>
      <c r="J2">
        <f>_xlfn.DAYS(I2, H2)</f>
        <v>5231</v>
      </c>
      <c r="K2">
        <f>NETWORKDAYS(H2, I2)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48</v>
      </c>
      <c r="I3" s="3" t="s">
        <v>56</v>
      </c>
      <c r="J3">
        <f t="shared" ref="J3:J10" si="0">_xlfn.DAYS(I3, H3)</f>
        <v>6058</v>
      </c>
      <c r="K3">
        <f t="shared" ref="K3:K10" si="1">NETWORKDAYS(H3, I3)</f>
        <v>4328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49</v>
      </c>
      <c r="I4" s="3" t="s">
        <v>57</v>
      </c>
      <c r="J4">
        <f t="shared" si="0"/>
        <v>6333</v>
      </c>
      <c r="K4">
        <f t="shared" si="1"/>
        <v>4524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50</v>
      </c>
      <c r="I5" s="3" t="s">
        <v>58</v>
      </c>
      <c r="J5">
        <f t="shared" si="0"/>
        <v>5428</v>
      </c>
      <c r="K5">
        <f t="shared" si="1"/>
        <v>3879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1" t="s">
        <v>51</v>
      </c>
      <c r="I6" s="1" t="s">
        <v>59</v>
      </c>
      <c r="J6" t="e">
        <f>_xlfn.DAYS(I6, H6)</f>
        <v>#VALUE!</v>
      </c>
      <c r="K6" t="e">
        <f t="shared" si="1"/>
        <v>#VALUE!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51</v>
      </c>
      <c r="I7" s="3" t="s">
        <v>60</v>
      </c>
      <c r="J7">
        <f t="shared" si="0"/>
        <v>4540</v>
      </c>
      <c r="K7">
        <f t="shared" si="1"/>
        <v>3244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52</v>
      </c>
      <c r="I8" s="3" t="s">
        <v>60</v>
      </c>
      <c r="J8">
        <f t="shared" si="0"/>
        <v>3743</v>
      </c>
      <c r="K8">
        <f t="shared" si="1"/>
        <v>2675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53</v>
      </c>
      <c r="I9" s="3" t="s">
        <v>61</v>
      </c>
      <c r="J9" t="e">
        <f t="shared" si="0"/>
        <v>#VALUE!</v>
      </c>
      <c r="K9" t="e">
        <f t="shared" si="1"/>
        <v>#VALUE!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54</v>
      </c>
      <c r="I10" s="3" t="s">
        <v>61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Alex Alkhatib</cp:lastModifiedBy>
  <dcterms:created xsi:type="dcterms:W3CDTF">2021-12-16T14:18:34Z</dcterms:created>
  <dcterms:modified xsi:type="dcterms:W3CDTF">2026-03-24T12:17:46Z</dcterms:modified>
</cp:coreProperties>
</file>